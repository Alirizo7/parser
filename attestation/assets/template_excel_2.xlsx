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omplete" sheetId="1" state="visible" r:id="rId1"/>
  </sheets>
  <definedNames>
    <definedName name="_xlnm.Print_Area" localSheetId="0">'complete'!$A$1:$K$4079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12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b val="1"/>
      <i val="1"/>
      <color theme="1"/>
      <sz val="11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color theme="1"/>
      <sz val="10"/>
    </font>
    <font>
      <name val="Times New Roman"/>
      <b val="1"/>
      <sz val="11"/>
    </font>
    <font>
      <name val="Times New Roman"/>
      <sz val="10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textRotation="90" wrapText="1"/>
    </xf>
    <xf numFmtId="0" fontId="5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0" fontId="7" fillId="0" borderId="4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8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textRotation="90" wrapText="1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10" fillId="0" borderId="1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164" fontId="11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11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tabSelected="1" view="pageBreakPreview" topLeftCell="A24" zoomScale="115" zoomScaleNormal="100" zoomScaleSheetLayoutView="115" workbookViewId="0">
      <selection activeCell="F45" sqref="F45"/>
    </sheetView>
  </sheetViews>
  <sheetFormatPr baseColWidth="8" defaultRowHeight="15"/>
  <cols>
    <col width="13.5703125" customWidth="1" min="1" max="1"/>
    <col width="20.140625" customWidth="1" min="2" max="2"/>
    <col width="31" customWidth="1" min="3" max="3"/>
    <col width="11.140625" customWidth="1" min="5" max="6"/>
    <col width="10" bestFit="1" customWidth="1" min="7" max="7"/>
  </cols>
  <sheetData>
    <row r="1">
      <c r="G1" s="29" t="inlineStr">
        <is>
          <t>УТВЕРЖДАЮ</t>
        </is>
      </c>
    </row>
    <row r="2">
      <c r="G2" s="29" t="inlineStr">
        <is>
          <t>Заведующий испытательной лабораторией</t>
        </is>
      </c>
    </row>
    <row r="3">
      <c r="G3" s="30" t="inlineStr">
        <is>
          <t xml:space="preserve">                        ООО «QARSHI MAXSUS O`QUV»</t>
        </is>
      </c>
    </row>
    <row r="4">
      <c r="G4" s="6" t="n"/>
      <c r="H4" s="7" t="n"/>
      <c r="I4" s="7" t="n"/>
      <c r="J4" s="6" t="inlineStr">
        <is>
          <t>Н.Д. Курбонова</t>
        </is>
      </c>
      <c r="K4" s="6" t="n"/>
    </row>
    <row r="5">
      <c r="H5" s="34" t="n"/>
    </row>
    <row r="6" hidden="1" ht="3" customHeight="1"/>
    <row r="7">
      <c r="A7" s="31" t="inlineStr">
        <is>
          <t xml:space="preserve">Протокол испытания  физических факторов  </t>
        </is>
      </c>
    </row>
    <row r="8">
      <c r="A8" s="32" t="inlineStr">
        <is>
          <t xml:space="preserve">            №  2 от  15.02.2022 г.</t>
        </is>
      </c>
    </row>
    <row r="9" ht="6" customHeight="1">
      <c r="A9" s="31" t="n"/>
    </row>
    <row r="10">
      <c r="A10" s="35" t="inlineStr">
        <is>
          <t>Наименование лаборатории:ООО «QARSHI MAXSUS O`QUV»</t>
        </is>
      </c>
    </row>
    <row r="11">
      <c r="A11" s="35" t="inlineStr">
        <is>
          <t>Адрес лаборатории: г.Карши,  ул. Амир Темур дом 74.</t>
        </is>
      </c>
    </row>
    <row r="12">
      <c r="A12" s="35" t="inlineStr">
        <is>
          <t>Свидетельство аккредитации: ML.0454 от 11.10.2021 г.</t>
        </is>
      </c>
    </row>
    <row r="13">
      <c r="A13" s="35" t="inlineStr">
        <is>
          <t xml:space="preserve">Наименование заказчика: AKADEMIK Y.X.TO`RAQULOV NOMIDAGI RESPUBLIKA IXTISOSLASHTIRILGAN ENDOKRINOLOGIYA ILMIY-AMALIY </t>
        </is>
      </c>
    </row>
    <row r="14">
      <c r="A14" s="36" t="inlineStr">
        <is>
          <t>TIBBIYOT MARKAZI QORAQALPOG`ISTON RESPUBLIKASI FILIALI</t>
        </is>
      </c>
      <c r="G14" s="35" t="n"/>
      <c r="H14" s="35" t="n"/>
    </row>
    <row r="15">
      <c r="A15" s="35" t="inlineStr">
        <is>
          <t>Адрес заказчика: Республики Каракалпакстан, город Нукус, ул. Ч.Абдиров дом-1</t>
        </is>
      </c>
    </row>
    <row r="16">
      <c r="A16" s="35" t="inlineStr">
        <is>
          <t xml:space="preserve">Цель, задачи испытаний:  Измерение и оценка физических факторов рабочего места. </t>
        </is>
      </c>
    </row>
    <row r="17">
      <c r="A17" s="2" t="inlineStr">
        <is>
          <t>НД на факторы испытаний (измерений): ГОСТ 12.1.050 – 86 г.ГОСТ 20444 – 85г. ГОСТ 26918 –86 г. ГОСТ 27435-87 г. ГОСТ 27436-87 г. ГОСТ 12.1.023-80 г.</t>
        </is>
      </c>
    </row>
    <row r="18">
      <c r="A18" s="4" t="inlineStr">
        <is>
          <t>ГОСТ 12.1.035-81 г. ГОСТ 31192.1-2004 г. ГОСТ 27805-88 г. ГОСТ 12.1.012-2004 г. ГОСТ 12.4.012-83 г. ГОСТ 31191.1-2004 г.</t>
        </is>
      </c>
    </row>
    <row r="19">
      <c r="A19" s="2" t="inlineStr">
        <is>
          <t>НД на методы испытаний (измерений): ГОСТ 12.1.050 – 86 г.ГОСТ 20444 – 85г. ГОСТ 26918 –86 г. ГОСТ 27435-87 г. ГОСТ 27436-87 г. ГОСТ 12.1.023-80 г.</t>
        </is>
      </c>
    </row>
    <row r="20">
      <c r="A20" s="4" t="inlineStr">
        <is>
          <t>ГОСТ 12.1.035-81 г. ГОСТ 31192.1-2004 г. ГОСТ 27805-88 г. ГОСТ 12.1.012-2004 г. ГОСТ 12.4.012-83 г. ГОСТ 31191.1-2004 г.</t>
        </is>
      </c>
    </row>
    <row r="21">
      <c r="A21" s="2" t="inlineStr">
        <is>
          <t>Средства измерений: Анализатор  шума и вибрации "ВШВ-003-М3" (Завод.№ 1713-08 Сер.пов.№ 399264-2021, дата пов. 02.08.2021 г.Действителен до 02.08.2022 г)</t>
        </is>
      </c>
      <c r="B21" s="2" t="n"/>
      <c r="C21" s="2" t="n"/>
      <c r="E21" s="5" t="n"/>
    </row>
    <row r="22">
      <c r="A22" s="35" t="inlineStr">
        <is>
          <t>Условия проведения испытаний (измерений): температура __23.0___ С, влажность _______ %</t>
        </is>
      </c>
      <c r="E22" s="5" t="n"/>
    </row>
    <row r="23">
      <c r="A23" s="2" t="inlineStr">
        <is>
          <t>Испытания, (измерений) проведенные субподрядчиком:  _________нет________________</t>
        </is>
      </c>
    </row>
    <row r="24" ht="9" customHeight="1">
      <c r="A24" s="2" t="n"/>
    </row>
    <row r="25" ht="15.75" customHeight="1">
      <c r="A25" s="24" t="inlineStr">
        <is>
          <t>Протокол измерений физических факторов</t>
        </is>
      </c>
    </row>
    <row r="26" ht="7.5" customHeight="1">
      <c r="A26" s="24" t="n"/>
    </row>
    <row r="27" ht="15.75" customHeight="1">
      <c r="A27" s="26" t="inlineStr">
        <is>
          <t>Ish o`rni T/r</t>
        </is>
      </c>
      <c r="B27" s="26" t="inlineStr">
        <is>
          <t>O`lchash joyi, ish joyining nomi</t>
        </is>
      </c>
      <c r="C27" s="26" t="inlineStr">
        <is>
          <t>Jismoniy omillarning ko`rsatkichlarini aniqlash</t>
        </is>
      </c>
      <c r="D27" s="26" t="inlineStr">
        <is>
          <t>PDU</t>
        </is>
      </c>
      <c r="E27" s="27" t="inlineStr">
        <is>
          <t>O`lchov natijalari</t>
        </is>
      </c>
      <c r="F27" s="37" t="n"/>
      <c r="G27" s="37" t="n"/>
      <c r="H27" s="38" t="n"/>
      <c r="I27" s="25" t="inlineStr">
        <is>
          <t>Ta`sir muddati (soat/%)</t>
        </is>
      </c>
      <c r="J27" s="25" t="inlineStr">
        <is>
          <t>Mehnat sharoitlari klassi</t>
        </is>
      </c>
      <c r="K27" s="25" t="inlineStr">
        <is>
          <t>Mehnat shartlarining yakuniy klassi</t>
        </is>
      </c>
    </row>
    <row r="28" ht="30.75" customHeight="1">
      <c r="A28" s="39" t="n"/>
      <c r="B28" s="39" t="n"/>
      <c r="C28" s="39" t="n"/>
      <c r="D28" s="39" t="n"/>
      <c r="E28" s="26" t="inlineStr">
        <is>
          <t>1-faoliyat</t>
        </is>
      </c>
      <c r="F28" s="26" t="inlineStr">
        <is>
          <t>2-faoliyat</t>
        </is>
      </c>
      <c r="G28" s="26" t="inlineStr">
        <is>
          <t>3-faoliyat</t>
        </is>
      </c>
      <c r="H28" s="33" t="inlineStr">
        <is>
          <t>O`rtacha haqiqiy</t>
        </is>
      </c>
      <c r="I28" s="39" t="n"/>
      <c r="J28" s="39" t="n"/>
      <c r="K28" s="39" t="n"/>
    </row>
    <row r="29" ht="54.75" customHeight="1">
      <c r="A29" s="40" t="n"/>
      <c r="B29" s="40" t="n"/>
      <c r="C29" s="40" t="n"/>
      <c r="D29" s="40" t="n"/>
      <c r="E29" s="25" t="inlineStr">
        <is>
          <t>Haqiqiy</t>
        </is>
      </c>
      <c r="F29" s="25" t="inlineStr">
        <is>
          <t>Haqiqiy</t>
        </is>
      </c>
      <c r="G29" s="25" t="inlineStr">
        <is>
          <t>Haqiqiy</t>
        </is>
      </c>
      <c r="H29" s="40" t="n"/>
      <c r="I29" s="40" t="n"/>
      <c r="J29" s="40" t="n"/>
      <c r="K29" s="40" t="n"/>
    </row>
    <row r="30" ht="16.5" customHeight="1">
      <c r="A30" s="41" t="inlineStr">
        <is>
          <t>Umumiy tibbiyot xodimlari</t>
        </is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3" t="n"/>
    </row>
    <row r="31">
      <c r="A31" s="44" t="inlineStr">
        <is>
          <t>000001</t>
        </is>
      </c>
      <c r="B31" s="45" t="inlineStr">
        <is>
          <t>Bosh hamshira (laborant)</t>
        </is>
      </c>
      <c r="C31" s="46" t="inlineStr">
        <is>
          <t>Shovqin, dBA</t>
        </is>
      </c>
      <c r="D31" s="45" t="n">
        <v>50</v>
      </c>
      <c r="E31" s="45">
        <f>H31+1</f>
        <v/>
      </c>
      <c r="F31" s="45">
        <f>H31+2</f>
        <v/>
      </c>
      <c r="G31" s="45">
        <f>H31-3</f>
        <v/>
      </c>
      <c r="H31" s="45" t="n">
        <v>48</v>
      </c>
      <c r="I31" s="45" t="n">
        <v>80</v>
      </c>
      <c r="J31" s="45" t="n">
        <v>2</v>
      </c>
      <c r="K31" s="45" t="n">
        <v>2</v>
      </c>
    </row>
    <row r="32">
      <c r="A32" s="47" t="n"/>
      <c r="B32" s="47" t="n"/>
      <c r="C32" s="46" t="inlineStr">
        <is>
          <t>Tebranish: mahalliy, dB</t>
        </is>
      </c>
      <c r="D32" s="45" t="n"/>
      <c r="E32" s="45" t="n"/>
      <c r="F32" s="45" t="n"/>
      <c r="G32" s="45" t="n"/>
      <c r="H32" s="45" t="n"/>
      <c r="I32" s="45" t="n"/>
      <c r="J32" s="45" t="n"/>
      <c r="K32" s="47" t="n"/>
    </row>
    <row r="33">
      <c r="A33" s="47" t="n"/>
      <c r="B33" s="47" t="n"/>
      <c r="C33" s="46" t="inlineStr">
        <is>
          <t xml:space="preserve">Umumiy, dB </t>
        </is>
      </c>
      <c r="D33" s="45" t="n"/>
      <c r="E33" s="45" t="n"/>
      <c r="F33" s="45" t="n"/>
      <c r="G33" s="45" t="n"/>
      <c r="H33" s="45" t="n"/>
      <c r="I33" s="45" t="n"/>
      <c r="J33" s="45" t="n"/>
      <c r="K33" s="47" t="n"/>
    </row>
    <row r="34">
      <c r="A34" s="48" t="n"/>
      <c r="B34" s="48" t="n"/>
      <c r="C34" s="46" t="inlineStr">
        <is>
          <t>Infratovush, dB</t>
        </is>
      </c>
      <c r="D34" s="45" t="n"/>
      <c r="E34" s="45" t="n"/>
      <c r="F34" s="45" t="n"/>
      <c r="G34" s="45" t="n"/>
      <c r="H34" s="45" t="n"/>
      <c r="I34" s="45" t="n"/>
      <c r="J34" s="45" t="n"/>
      <c r="K34" s="48" t="n"/>
    </row>
    <row r="39" ht="16.5" customHeight="1"/>
    <row r="52" ht="16.5" customHeight="1"/>
    <row r="61" ht="16.5" customHeight="1"/>
    <row r="78" ht="16.5" customHeight="1"/>
    <row r="103" ht="16.5" customHeight="1"/>
    <row r="116" ht="16.5" customHeight="1"/>
    <row r="145" ht="16.5" customHeight="1"/>
    <row r="162" ht="16.5" customHeight="1"/>
    <row r="175" ht="16.5" customHeight="1"/>
    <row r="192" ht="16.5" customHeight="1"/>
    <row r="201" ht="16.5" customHeight="1"/>
  </sheetData>
  <mergeCells count="28">
    <mergeCell ref="A7:K7"/>
    <mergeCell ref="A15:D15"/>
    <mergeCell ref="H28:H29"/>
    <mergeCell ref="A16:D16"/>
    <mergeCell ref="E27:H27"/>
    <mergeCell ref="A22:D22"/>
    <mergeCell ref="A30:K30"/>
    <mergeCell ref="G2:K2"/>
    <mergeCell ref="A13:J13"/>
    <mergeCell ref="A11:D11"/>
    <mergeCell ref="A8:K8"/>
    <mergeCell ref="G1:K1"/>
    <mergeCell ref="K27:K29"/>
    <mergeCell ref="C27:C29"/>
    <mergeCell ref="A10:D10"/>
    <mergeCell ref="H5:K5"/>
    <mergeCell ref="K31:K34"/>
    <mergeCell ref="G3:K3"/>
    <mergeCell ref="D27:D29"/>
    <mergeCell ref="A31:A34"/>
    <mergeCell ref="A12:D12"/>
    <mergeCell ref="A27:A29"/>
    <mergeCell ref="B31:B34"/>
    <mergeCell ref="A14:F14"/>
    <mergeCell ref="A25:K25"/>
    <mergeCell ref="I27:I29"/>
    <mergeCell ref="B27:B29"/>
    <mergeCell ref="J27:J29"/>
  </mergeCells>
  <printOptions horizontalCentered="1"/>
  <pageMargins left="0.1968503937007874" right="0.1968503937007874" top="0.5905511811023623" bottom="0.5511811023622047" header="0.3149606299212598" footer="0.3149606299212598"/>
  <pageSetup orientation="landscape" paperSize="9" fitToHeight="0"/>
  <headerFooter>
    <oddHeader/>
    <oddFooter>&amp;CПротокол действительна только после заверения печатью АИЛ OOO "ONIX-STANDART"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intel</dc:creator>
  <dcterms:created xmlns:dcterms="http://purl.org/dc/terms/" xmlns:xsi="http://www.w3.org/2001/XMLSchema-instance" xsi:type="dcterms:W3CDTF">2021-12-04T05:21:23Z</dcterms:created>
  <dcterms:modified xmlns:dcterms="http://purl.org/dc/terms/" xmlns:xsi="http://www.w3.org/2001/XMLSchema-instance" xsi:type="dcterms:W3CDTF">2026-07-22T14:00:30Z</dcterms:modified>
  <cp:lastModifiedBy>PC</cp:lastModifiedBy>
  <cp:lastPrinted>2022-01-20T12:17:08Z</cp:lastPrinted>
</cp:coreProperties>
</file>