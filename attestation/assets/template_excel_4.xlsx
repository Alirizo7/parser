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complete" sheetId="1" state="visible" r:id="rId1"/>
  </sheets>
  <definedNames>
    <definedName name="_xlnm.Print_Area" localSheetId="0">'complete'!$A$1:$K$3808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0">
    <font>
      <name val="Calibri"/>
      <charset val="204"/>
      <family val="2"/>
      <color theme="1"/>
      <sz val="11"/>
      <scheme val="minor"/>
    </font>
    <font>
      <name val="Times New Roman"/>
      <charset val="204"/>
      <family val="1"/>
      <b val="1"/>
      <color theme="1"/>
      <sz val="12"/>
    </font>
    <font>
      <name val="Times New Roman"/>
      <charset val="204"/>
      <family val="1"/>
      <b val="1"/>
      <color theme="1"/>
      <sz val="11"/>
    </font>
    <font>
      <name val="Times New Roman"/>
      <charset val="204"/>
      <family val="1"/>
      <b val="1"/>
      <color rgb="FFFF0000"/>
      <sz val="11"/>
    </font>
    <font>
      <name val="Times New Roman"/>
      <charset val="204"/>
      <family val="1"/>
      <color theme="1"/>
      <sz val="11"/>
    </font>
    <font>
      <name val="Times New Roman"/>
      <charset val="204"/>
      <family val="1"/>
      <b val="1"/>
      <color theme="1"/>
      <sz val="10"/>
    </font>
    <font>
      <name val="Times New Roman"/>
      <charset val="204"/>
      <family val="1"/>
      <color theme="1"/>
      <sz val="10"/>
    </font>
    <font>
      <name val="Times New Roman"/>
      <charset val="204"/>
      <family val="1"/>
      <b val="1"/>
      <color rgb="FF000000"/>
      <sz val="10"/>
    </font>
    <font>
      <name val="Times New Roman"/>
      <charset val="204"/>
      <family val="1"/>
      <color rgb="FF000000"/>
      <sz val="10"/>
    </font>
    <font>
      <name val="Times New Roman"/>
      <b val="1"/>
      <sz val="10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2" fillId="0" borderId="0" pivotButton="0" quotePrefix="0" xfId="0"/>
    <xf numFmtId="0" fontId="5" fillId="0" borderId="2" applyAlignment="1" pivotButton="0" quotePrefix="0" xfId="0">
      <alignment vertical="center" wrapText="1"/>
    </xf>
    <xf numFmtId="0" fontId="5" fillId="0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vertical="center" wrapText="1"/>
    </xf>
    <xf numFmtId="0" fontId="5" fillId="0" borderId="2" applyAlignment="1" pivotButton="0" quotePrefix="0" xfId="0">
      <alignment horizontal="center" vertical="center" textRotation="90" wrapText="1"/>
    </xf>
    <xf numFmtId="0" fontId="2" fillId="0" borderId="1" pivotButton="0" quotePrefix="0" xfId="0"/>
    <xf numFmtId="0" fontId="6" fillId="0" borderId="2" applyAlignment="1" pivotButton="0" quotePrefix="0" xfId="0">
      <alignment vertical="center" wrapText="1"/>
    </xf>
    <xf numFmtId="0" fontId="6" fillId="0" borderId="2" applyAlignment="1" pivotButton="0" quotePrefix="0" xfId="0">
      <alignment horizontal="center" vertical="center" wrapText="1"/>
    </xf>
    <xf numFmtId="2" fontId="6" fillId="0" borderId="2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/>
    </xf>
    <xf numFmtId="1" fontId="6" fillId="0" borderId="2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left" vertical="center" wrapText="1"/>
    </xf>
    <xf numFmtId="164" fontId="8" fillId="0" borderId="7" applyAlignment="1" pivotButton="0" quotePrefix="0" xfId="0">
      <alignment horizontal="center" vertical="center" wrapText="1"/>
    </xf>
    <xf numFmtId="164" fontId="6" fillId="0" borderId="2" applyAlignment="1" pivotButton="0" quotePrefix="0" xfId="0">
      <alignment horizontal="center" vertical="center" wrapText="1"/>
    </xf>
    <xf numFmtId="164" fontId="6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49" fontId="4" fillId="0" borderId="2" applyAlignment="1" pivotButton="0" quotePrefix="0" xfId="0">
      <alignment vertical="center" wrapText="1"/>
    </xf>
    <xf numFmtId="0" fontId="8" fillId="0" borderId="2" applyAlignment="1" pivotButton="0" quotePrefix="0" xfId="0">
      <alignment vertical="center" wrapText="1"/>
    </xf>
    <xf numFmtId="0" fontId="7" fillId="0" borderId="2" applyAlignment="1" pivotButton="0" quotePrefix="0" xfId="0">
      <alignment horizontal="center" vertical="center" wrapText="1"/>
    </xf>
    <xf numFmtId="164" fontId="6" fillId="0" borderId="2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5" fillId="0" borderId="2" applyAlignment="1" pivotButton="0" quotePrefix="0" xfId="0">
      <alignment horizontal="center" vertical="center" textRotation="90" wrapText="1"/>
    </xf>
    <xf numFmtId="0" fontId="5" fillId="0" borderId="2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/>
    </xf>
    <xf numFmtId="0" fontId="0" fillId="0" borderId="4" pivotButton="0" quotePrefix="0" xfId="0"/>
    <xf numFmtId="0" fontId="0" fillId="0" borderId="5" pivotButton="0" quotePrefix="0" xfId="0"/>
    <xf numFmtId="0" fontId="0" fillId="0" borderId="11" pivotButton="0" quotePrefix="0" xfId="0"/>
    <xf numFmtId="0" fontId="0" fillId="0" borderId="6" pivotButton="0" quotePrefix="0" xfId="0"/>
    <xf numFmtId="0" fontId="9" fillId="0" borderId="2" applyAlignment="1" pivotButton="0" quotePrefix="0" xfId="0">
      <alignment horizontal="center" vertical="center" wrapText="1"/>
    </xf>
    <xf numFmtId="49" fontId="4" fillId="0" borderId="2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center" vertical="center"/>
    </xf>
    <xf numFmtId="164" fontId="6" fillId="0" borderId="2" applyAlignment="1" pivotButton="0" quotePrefix="0" xfId="0">
      <alignment horizontal="center" vertical="center"/>
    </xf>
    <xf numFmtId="164" fontId="6" fillId="0" borderId="12" applyAlignment="1" pivotButton="0" quotePrefix="0" xfId="0">
      <alignment horizontal="center" vertical="center" wrapText="1"/>
    </xf>
    <xf numFmtId="1" fontId="6" fillId="0" borderId="12" applyAlignment="1" pivotButton="0" quotePrefix="0" xfId="0">
      <alignment horizontal="center" vertical="center" wrapText="1"/>
    </xf>
    <xf numFmtId="0" fontId="6" fillId="0" borderId="12" applyAlignment="1" pivotButton="0" quotePrefix="0" xfId="0">
      <alignment horizontal="center" vertical="center" wrapText="1"/>
    </xf>
    <xf numFmtId="0" fontId="0" fillId="0" borderId="12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tabSelected="1" view="pageBreakPreview" topLeftCell="A19" zoomScaleNormal="100" zoomScaleSheetLayoutView="100" workbookViewId="0">
      <selection activeCell="O42" sqref="O42"/>
    </sheetView>
  </sheetViews>
  <sheetFormatPr baseColWidth="8" defaultRowHeight="15"/>
  <cols>
    <col width="14.42578125" customWidth="1" min="1" max="1"/>
    <col width="45" customWidth="1" min="2" max="2"/>
    <col width="34.140625" customWidth="1" min="3" max="3"/>
    <col width="10.5703125" customWidth="1" min="4" max="4"/>
    <col width="11.140625" customWidth="1" min="5" max="5"/>
    <col width="11.42578125" customWidth="1" min="6" max="6"/>
    <col width="11.7109375" customWidth="1" min="7" max="7"/>
  </cols>
  <sheetData>
    <row r="1">
      <c r="G1" s="32" t="inlineStr">
        <is>
          <t>УТВЕРЖДАЮ</t>
        </is>
      </c>
    </row>
    <row r="2">
      <c r="G2" s="32" t="inlineStr">
        <is>
          <t>Заведующий испытательной лабораторией</t>
        </is>
      </c>
    </row>
    <row r="3">
      <c r="G3" s="32" t="inlineStr">
        <is>
          <t xml:space="preserve"> ООО «QARSHI MAXSUS O`QUV»</t>
        </is>
      </c>
    </row>
    <row r="4">
      <c r="G4" s="5" t="n"/>
      <c r="H4" s="10" t="n"/>
      <c r="I4" s="10" t="n"/>
      <c r="J4" s="5" t="inlineStr">
        <is>
          <t>Н.Д. Курбонова</t>
        </is>
      </c>
      <c r="K4" s="5" t="n"/>
    </row>
    <row r="5">
      <c r="H5" s="35" t="n"/>
    </row>
    <row r="6">
      <c r="A6" s="33" t="inlineStr">
        <is>
          <t>Протокол измерений освещенности</t>
        </is>
      </c>
    </row>
    <row r="7">
      <c r="A7" s="34" t="inlineStr">
        <is>
          <t xml:space="preserve">            №  2 от  15.02.2022 г.</t>
        </is>
      </c>
    </row>
    <row r="8" ht="6" customHeight="1">
      <c r="A8" s="33" t="n"/>
    </row>
    <row r="9">
      <c r="A9" s="28" t="inlineStr">
        <is>
          <t>Наименование лаборатории: ООО «QARSHI MAXSUS O`QUV»</t>
        </is>
      </c>
    </row>
    <row r="10">
      <c r="A10" s="28" t="inlineStr">
        <is>
          <t>Адрес лаборатории: г.Карши,  ул. Амир Темур дом 74.</t>
        </is>
      </c>
    </row>
    <row r="11">
      <c r="A11" s="28" t="inlineStr">
        <is>
          <t>Свидетельство аккредитации: ML.0454 от 11.10.2021 г.</t>
        </is>
      </c>
    </row>
    <row r="12">
      <c r="A12" s="28" t="inlineStr">
        <is>
          <t xml:space="preserve">Наименование заказчика:  AKADEMIK Y.X.TO`RAQULOV NOMIDAGI RESPUBLIKA IXTISOSLASHTIRILGAN ENDOKRINOLOGIYA ILMIY-AMALIY </t>
        </is>
      </c>
    </row>
    <row r="13">
      <c r="A13" s="27" t="inlineStr">
        <is>
          <t>TIBBIYOT MARKAZI QORAQALPOG`ISTON RESPUBLIKASI FILIALI</t>
        </is>
      </c>
      <c r="F13" s="28" t="n"/>
      <c r="G13" s="28" t="n"/>
      <c r="H13" s="28" t="n"/>
    </row>
    <row r="14">
      <c r="A14" s="28" t="inlineStr">
        <is>
          <t>Адрес заказчика: Республики Каракалпакстан, город Нукус, ул. Ч.Абдиров дом-1</t>
        </is>
      </c>
    </row>
    <row r="15">
      <c r="A15" s="5" t="inlineStr">
        <is>
          <t xml:space="preserve">Цель, задачи испытаний:  Измерение и оценка освещенности </t>
        </is>
      </c>
    </row>
    <row r="16">
      <c r="A16" s="5" t="inlineStr">
        <is>
          <t>НД на факторы испытаний (измерений): ГОСТ 24940-96 «Здания и сооружения. Метод  измерения освещенности»</t>
        </is>
      </c>
    </row>
    <row r="17">
      <c r="A17" s="5" t="inlineStr">
        <is>
          <t>НД на факторы испытаний (измерений): ГОСТ 24940-96 «Здания и сооружения. Метод  измерения освещенности»</t>
        </is>
      </c>
    </row>
    <row r="18">
      <c r="A18" s="2" t="inlineStr">
        <is>
          <t xml:space="preserve">Средства измерений: Люксметр “АРГУС-01”  (Завод № 274 Сертификат кал. № 0906133 , дата кал.02.08.2021 г.  Действителен до 02.08.2022 г.);  </t>
        </is>
      </c>
      <c r="B18" s="2" t="n"/>
      <c r="C18" s="2" t="n"/>
      <c r="E18" s="4" t="n"/>
    </row>
    <row r="19">
      <c r="A19" s="2" t="inlineStr">
        <is>
          <t>Условия проведения испытаний (измерений): температура ______ С, влажность _______ %</t>
        </is>
      </c>
      <c r="B19" s="2" t="n"/>
      <c r="C19" s="2" t="n"/>
      <c r="D19" s="2" t="n"/>
      <c r="E19" s="4" t="n"/>
    </row>
    <row r="20">
      <c r="A20" s="2" t="inlineStr">
        <is>
          <t>Испытания, (измерений) проведенные субподрядчиком:  _________нет________________</t>
        </is>
      </c>
    </row>
    <row r="21" ht="9" customHeight="1">
      <c r="A21" s="2" t="n"/>
    </row>
    <row r="22" ht="15.75" customHeight="1">
      <c r="A22" s="31" t="inlineStr">
        <is>
          <t>Результаты проведения (испытаний), измерений микроклимата</t>
        </is>
      </c>
    </row>
    <row r="23" ht="7.5" customHeight="1">
      <c r="A23" s="31" t="n"/>
    </row>
    <row r="24">
      <c r="A24" s="30" t="inlineStr">
        <is>
          <t>Ish orni 
T/r</t>
        </is>
      </c>
      <c r="B24" s="30" t="inlineStr">
        <is>
          <t>O`lchov joyi, ish joyi</t>
        </is>
      </c>
      <c r="C24" s="30" t="inlineStr">
        <is>
          <t>Yoritish ko`rsatkichlarini aniqlash</t>
        </is>
      </c>
      <c r="D24" s="6" t="inlineStr">
        <is>
          <t>PDU</t>
        </is>
      </c>
      <c r="E24" s="30" t="inlineStr">
        <is>
          <t>O`lchov natijalari</t>
        </is>
      </c>
      <c r="F24" s="36" t="n"/>
      <c r="G24" s="37" t="n"/>
      <c r="H24" s="29" t="inlineStr">
        <is>
          <t xml:space="preserve"> O`rtacha haqiqiy</t>
        </is>
      </c>
      <c r="I24" s="29" t="inlineStr">
        <is>
          <t>Ta`sir muddati (soat/%)</t>
        </is>
      </c>
      <c r="J24" s="29" t="inlineStr">
        <is>
          <t xml:space="preserve"> Mehnat sharoitlari klassi</t>
        </is>
      </c>
      <c r="K24" s="29" t="inlineStr">
        <is>
          <t xml:space="preserve">   Mehnat shartlarining yakuniy klassi</t>
        </is>
      </c>
    </row>
    <row r="25">
      <c r="A25" s="38" t="n"/>
      <c r="B25" s="38" t="n"/>
      <c r="C25" s="38" t="n"/>
      <c r="D25" s="30" t="n"/>
      <c r="E25" s="30" t="inlineStr">
        <is>
          <t>1-faoliyat</t>
        </is>
      </c>
      <c r="F25" s="30" t="inlineStr">
        <is>
          <t>2-faoliyat</t>
        </is>
      </c>
      <c r="G25" s="6" t="inlineStr">
        <is>
          <t>3-faoliyat</t>
        </is>
      </c>
      <c r="H25" s="38" t="n"/>
      <c r="I25" s="38" t="n"/>
      <c r="J25" s="38" t="n"/>
      <c r="K25" s="38" t="n"/>
    </row>
    <row r="26" ht="72.75" customHeight="1">
      <c r="A26" s="39" t="n"/>
      <c r="B26" s="39" t="n"/>
      <c r="C26" s="39" t="n"/>
      <c r="D26" s="11" t="n"/>
      <c r="E26" s="29" t="inlineStr">
        <is>
          <t xml:space="preserve">    Haqiqiy</t>
        </is>
      </c>
      <c r="F26" s="29" t="inlineStr">
        <is>
          <t xml:space="preserve">    Haqiqiy</t>
        </is>
      </c>
      <c r="G26" s="29" t="inlineStr">
        <is>
          <t xml:space="preserve">    Haqiqiy</t>
        </is>
      </c>
      <c r="H26" s="39" t="n"/>
      <c r="I26" s="39" t="n"/>
      <c r="J26" s="39" t="n"/>
      <c r="K26" s="39" t="n"/>
    </row>
    <row r="27" ht="13.5" customHeight="1">
      <c r="A27" s="40" t="inlineStr">
        <is>
          <t>Umumiy tibbiyot xodimlari</t>
        </is>
      </c>
      <c r="B27" s="36" t="n"/>
      <c r="C27" s="36" t="n"/>
      <c r="D27" s="36" t="n"/>
      <c r="E27" s="36" t="n"/>
      <c r="F27" s="36" t="n"/>
      <c r="G27" s="36" t="n"/>
      <c r="H27" s="36" t="n"/>
      <c r="I27" s="36" t="n"/>
      <c r="J27" s="36" t="n"/>
      <c r="K27" s="37" t="n"/>
    </row>
    <row r="28" ht="15" customHeight="1">
      <c r="A28" s="41" t="inlineStr">
        <is>
          <t>000001</t>
        </is>
      </c>
      <c r="B28" s="42" t="inlineStr">
        <is>
          <t>Bosh hamshira (laborant)</t>
        </is>
      </c>
      <c r="C28" s="11" t="inlineStr">
        <is>
          <t xml:space="preserve">Vizual ishlarni bajarish </t>
        </is>
      </c>
      <c r="D28" s="43" t="inlineStr">
        <is>
          <t>III</t>
        </is>
      </c>
      <c r="E28" s="36" t="n"/>
      <c r="F28" s="36" t="n"/>
      <c r="G28" s="36" t="n"/>
      <c r="H28" s="36" t="n"/>
      <c r="I28" s="36" t="n"/>
      <c r="J28" s="37" t="n"/>
      <c r="K28" s="44" t="n">
        <v>2</v>
      </c>
    </row>
    <row r="29" ht="12" customHeight="1">
      <c r="A29" s="38" t="n"/>
      <c r="B29" s="38" t="n"/>
      <c r="C29" s="16" t="inlineStr">
        <is>
          <t>Tabiiy yorug`lik (КЕО %)</t>
        </is>
      </c>
      <c r="D29" s="17" t="inlineStr">
        <is>
          <t>-</t>
        </is>
      </c>
      <c r="E29" s="13">
        <f>H29+0.01</f>
        <v/>
      </c>
      <c r="F29" s="13">
        <f>H29+0.02</f>
        <v/>
      </c>
      <c r="G29" s="13">
        <f>H29-0.03</f>
        <v/>
      </c>
      <c r="H29" s="13" t="n">
        <v>1.23</v>
      </c>
      <c r="I29" s="12" t="n">
        <v>80</v>
      </c>
      <c r="J29" s="26" t="n"/>
      <c r="K29" s="38" t="n"/>
    </row>
    <row r="30">
      <c r="A30" s="38" t="n"/>
      <c r="B30" s="38" t="n"/>
      <c r="C30" s="11" t="inlineStr">
        <is>
          <t xml:space="preserve">Birlashtirilgan yorug`lik (КЕО %) </t>
        </is>
      </c>
      <c r="D30" s="17" t="n">
        <v>1.2</v>
      </c>
      <c r="E30" s="13">
        <f>H30+0.01</f>
        <v/>
      </c>
      <c r="F30" s="13">
        <f>H30+0.02</f>
        <v/>
      </c>
      <c r="G30" s="13">
        <f>H30-0.03</f>
        <v/>
      </c>
      <c r="H30" s="13" t="n">
        <v>1.32</v>
      </c>
      <c r="I30" s="12" t="n">
        <v>80</v>
      </c>
      <c r="J30" s="26" t="inlineStr">
        <is>
          <t>2.0</t>
        </is>
      </c>
      <c r="K30" s="38" t="n"/>
    </row>
    <row r="31" ht="25.5" customHeight="1">
      <c r="A31" s="38" t="n"/>
      <c r="B31" s="38" t="n"/>
      <c r="C31" s="11" t="inlineStr">
        <is>
          <t xml:space="preserve">Sun`iy yorug`lik ostida ishlaydigan sirtning yoritilishi (Е, lx)                                                                        </t>
        </is>
      </c>
      <c r="D31" s="15" t="n">
        <v>300</v>
      </c>
      <c r="E31" s="15">
        <f>H31+1</f>
        <v/>
      </c>
      <c r="F31" s="15">
        <f>H31+2</f>
        <v/>
      </c>
      <c r="G31" s="15">
        <f>H31-3</f>
        <v/>
      </c>
      <c r="H31" s="15" t="n">
        <v>320</v>
      </c>
      <c r="I31" s="12" t="n">
        <v>80</v>
      </c>
      <c r="J31" s="26" t="inlineStr">
        <is>
          <t>2.0</t>
        </is>
      </c>
      <c r="K31" s="38" t="n"/>
    </row>
    <row r="32">
      <c r="A32" s="39" t="n"/>
      <c r="B32" s="39" t="n"/>
      <c r="C32" s="11" t="inlineStr">
        <is>
          <t>Pulsatsiya                YoP                        %</t>
        </is>
      </c>
      <c r="D32" s="45" t="n"/>
      <c r="E32" s="46" t="n"/>
      <c r="F32" s="46" t="n"/>
      <c r="G32" s="46" t="n"/>
      <c r="H32" s="45" t="n"/>
      <c r="I32" s="47" t="n"/>
      <c r="J32" s="45" t="n"/>
      <c r="K32" s="39" t="n"/>
    </row>
    <row r="33" ht="15" customHeight="1"/>
    <row r="34" ht="12" customHeight="1"/>
    <row r="36" ht="25.5" customHeight="1"/>
    <row r="38" ht="13.5" customHeight="1"/>
    <row r="39" ht="15" customHeight="1"/>
    <row r="40" ht="12" customHeight="1"/>
    <row r="42" ht="25.5" customHeight="1"/>
    <row r="44" ht="15" customHeight="1"/>
    <row r="45" ht="12" customHeight="1"/>
    <row r="47" ht="25.5" customHeight="1"/>
    <row r="49" ht="15" customHeight="1"/>
    <row r="50" ht="12" customHeight="1"/>
    <row r="52" ht="25.5" customHeight="1"/>
    <row r="54" ht="13.5" customHeight="1"/>
    <row r="55" ht="15" customHeight="1"/>
    <row r="56" ht="12" customHeight="1"/>
    <row r="58" ht="25.5" customHeight="1"/>
    <row r="60" ht="15" customHeight="1"/>
    <row r="61" ht="12" customHeight="1"/>
    <row r="63" ht="25.5" customHeight="1"/>
    <row r="65" ht="13.5" customHeight="1"/>
    <row r="66" ht="15" customHeight="1"/>
    <row r="67" ht="12" customHeight="1"/>
    <row r="69" ht="25.5" customHeight="1"/>
    <row r="71" ht="15" customHeight="1"/>
    <row r="72" ht="12" customHeight="1"/>
    <row r="74" ht="25.5" customHeight="1"/>
    <row r="76" ht="15" customHeight="1"/>
    <row r="77" ht="12" customHeight="1"/>
    <row r="79" ht="25.5" customHeight="1"/>
    <row r="81" ht="15" customHeight="1"/>
    <row r="82" ht="12" customHeight="1"/>
    <row r="84" ht="25.5" customHeight="1"/>
    <row r="86" ht="13.5" customHeight="1"/>
    <row r="87" ht="15" customHeight="1"/>
    <row r="88" ht="12" customHeight="1"/>
    <row r="90" ht="25.5" customHeight="1"/>
    <row r="92" ht="15" customHeight="1"/>
    <row r="93" ht="12" customHeight="1"/>
    <row r="95" ht="25.5" customHeight="1"/>
    <row r="97" ht="15" customHeight="1"/>
    <row r="98" ht="12" customHeight="1"/>
    <row r="100" ht="25.5" customHeight="1"/>
    <row r="102" ht="15" customHeight="1"/>
    <row r="103" ht="12" customHeight="1"/>
    <row r="105" ht="25.5" customHeight="1"/>
    <row r="107" ht="15" customHeight="1"/>
    <row r="108" ht="12" customHeight="1"/>
    <row r="110" ht="25.5" customHeight="1"/>
    <row r="112" ht="13.5" customHeight="1"/>
    <row r="113" ht="15" customHeight="1"/>
    <row r="114" ht="12" customHeight="1"/>
    <row r="116" ht="25.5" customHeight="1"/>
    <row r="118" ht="15" customHeight="1"/>
    <row r="119" ht="12" customHeight="1"/>
    <row r="121" ht="25.5" customHeight="1"/>
    <row r="123" ht="15" customHeight="1"/>
    <row r="124" ht="12" customHeight="1"/>
    <row r="126" ht="25.5" customHeight="1"/>
    <row r="128" ht="13.5" customHeight="1"/>
    <row r="129" ht="15" customHeight="1"/>
    <row r="130" ht="12" customHeight="1"/>
    <row r="132" ht="25.5" customHeight="1"/>
    <row r="134" ht="15" customHeight="1"/>
    <row r="135" ht="12" customHeight="1"/>
    <row r="137" ht="25.5" customHeight="1"/>
    <row r="139" ht="15" customHeight="1"/>
    <row r="140" ht="12" customHeight="1"/>
    <row r="142" ht="25.5" customHeight="1"/>
    <row r="144" ht="15" customHeight="1"/>
    <row r="145" ht="12" customHeight="1"/>
    <row r="147" ht="25.5" customHeight="1"/>
    <row r="149" ht="15" customHeight="1"/>
    <row r="150" ht="12" customHeight="1"/>
    <row r="152" ht="25.5" customHeight="1"/>
    <row r="154" ht="15" customHeight="1"/>
    <row r="155" ht="12" customHeight="1"/>
    <row r="157" ht="25.5" customHeight="1"/>
    <row r="159" ht="15" customHeight="1"/>
    <row r="160" ht="12" customHeight="1"/>
    <row r="162" ht="25.5" customHeight="1"/>
    <row r="164" ht="13.5" customHeight="1"/>
    <row r="165" ht="15" customHeight="1"/>
    <row r="166" ht="12" customHeight="1"/>
    <row r="168" ht="25.5" customHeight="1"/>
    <row r="170" ht="15" customHeight="1"/>
    <row r="171" ht="12" customHeight="1"/>
    <row r="173" ht="25.5" customHeight="1"/>
    <row r="175" ht="15" customHeight="1"/>
    <row r="176" ht="12" customHeight="1"/>
    <row r="178" ht="25.5" customHeight="1"/>
    <row r="180" ht="15" customHeight="1"/>
    <row r="181" ht="12" customHeight="1"/>
    <row r="183" ht="25.5" customHeight="1"/>
    <row r="185" ht="13.5" customHeight="1"/>
    <row r="186" ht="15" customHeight="1"/>
    <row r="187" ht="12" customHeight="1"/>
    <row r="189" ht="25.5" customHeight="1"/>
    <row r="191" ht="15" customHeight="1"/>
    <row r="192" ht="12" customHeight="1"/>
    <row r="194" ht="25.5" customHeight="1"/>
    <row r="196" ht="15" customHeight="1"/>
    <row r="197" ht="12" customHeight="1"/>
    <row r="199" ht="25.5" customHeight="1"/>
    <row r="201" ht="13.5" customHeight="1"/>
    <row r="202" ht="15" customHeight="1"/>
    <row r="203" ht="12" customHeight="1"/>
    <row r="205" ht="25.5" customHeight="1"/>
    <row r="207" ht="15" customHeight="1"/>
    <row r="208" ht="12" customHeight="1"/>
    <row r="210" ht="25.5" customHeight="1"/>
    <row r="212" ht="15" customHeight="1"/>
    <row r="213" ht="12" customHeight="1"/>
    <row r="215" ht="25.5" customHeight="1"/>
    <row r="217" ht="15" customHeight="1"/>
    <row r="218" ht="12" customHeight="1"/>
    <row r="220" ht="25.5" customHeight="1"/>
    <row r="222" ht="13.5" customHeight="1"/>
    <row r="223" ht="15" customHeight="1"/>
    <row r="224" ht="12" customHeight="1"/>
    <row r="226" ht="25.5" customHeight="1"/>
    <row r="228" ht="15" customHeight="1"/>
    <row r="229" ht="12" customHeight="1"/>
    <row r="231" ht="25.5" customHeight="1"/>
    <row r="233" ht="13.5" customHeight="1"/>
    <row r="234" ht="15" customHeight="1"/>
    <row r="235" ht="12" customHeight="1"/>
    <row r="237" ht="25.5" customHeight="1"/>
    <row r="239" ht="15" customHeight="1"/>
    <row r="240" ht="12" customHeight="1"/>
    <row r="242" ht="25.5" customHeight="1"/>
    <row r="244" ht="15" customHeight="1"/>
    <row r="245" ht="12" customHeight="1"/>
    <row r="247" ht="25.5" customHeight="1"/>
    <row r="249" ht="15" customHeight="1"/>
    <row r="250" ht="12" customHeight="1"/>
    <row r="252" ht="25.5" customHeight="1"/>
    <row r="254" ht="15" customHeight="1"/>
    <row r="255" ht="12" customHeight="1"/>
    <row r="257" ht="25.5" customHeight="1"/>
    <row r="259" ht="15" customHeight="1"/>
    <row r="260" ht="12" customHeight="1"/>
    <row r="262" ht="25.5" customHeight="1"/>
    <row r="264" ht="15" customHeight="1"/>
    <row r="265" ht="12" customHeight="1"/>
    <row r="267" ht="25.5" customHeight="1"/>
    <row r="269" ht="15" customHeight="1"/>
    <row r="270" ht="12" customHeight="1"/>
    <row r="272" ht="25.5" customHeight="1"/>
    <row r="274" ht="15" customHeight="1"/>
    <row r="275" ht="12" customHeight="1"/>
    <row r="277" ht="25.5" customHeight="1"/>
    <row r="279" ht="15" customHeight="1"/>
    <row r="280" ht="12" customHeight="1"/>
    <row r="282" ht="25.5" customHeight="1"/>
    <row r="284" ht="15" customHeight="1"/>
    <row r="285" ht="12" customHeight="1"/>
    <row r="287" ht="25.5" customHeight="1"/>
    <row r="289" ht="15" customHeight="1"/>
    <row r="290" ht="12" customHeight="1"/>
    <row r="292" ht="25.5" customHeight="1"/>
    <row r="294" ht="15" customHeight="1"/>
    <row r="295" ht="12" customHeight="1"/>
    <row r="297" ht="25.5" customHeight="1"/>
  </sheetData>
  <mergeCells count="26">
    <mergeCell ref="A7:K7"/>
    <mergeCell ref="A24:A26"/>
    <mergeCell ref="K24:K26"/>
    <mergeCell ref="C24:C26"/>
    <mergeCell ref="A27:K27"/>
    <mergeCell ref="A22:K22"/>
    <mergeCell ref="J24:J26"/>
    <mergeCell ref="A12:J12"/>
    <mergeCell ref="G2:K2"/>
    <mergeCell ref="A9:D9"/>
    <mergeCell ref="A28:A32"/>
    <mergeCell ref="A11:D11"/>
    <mergeCell ref="E24:G24"/>
    <mergeCell ref="G1:K1"/>
    <mergeCell ref="D28:J28"/>
    <mergeCell ref="B24:B26"/>
    <mergeCell ref="A10:D10"/>
    <mergeCell ref="H5:K5"/>
    <mergeCell ref="H24:H26"/>
    <mergeCell ref="K28:K32"/>
    <mergeCell ref="G3:K3"/>
    <mergeCell ref="A13:E13"/>
    <mergeCell ref="I24:I26"/>
    <mergeCell ref="A14:D14"/>
    <mergeCell ref="B28:B32"/>
    <mergeCell ref="A6:K6"/>
  </mergeCells>
  <printOptions horizontalCentered="1"/>
  <pageMargins left="0.1968503937007874" right="0.1968503937007874" top="0.5905511811023623" bottom="0.5511811023622047" header="0.3149606299212598" footer="0.3149606299212598"/>
  <pageSetup orientation="landscape" paperSize="9" scale="84" fitToHeight="0"/>
  <headerFooter>
    <oddHeader/>
    <oddFooter>&amp;CПротокол действительна только после заверения печатью АИЛ OOO "ONIX-STANDART"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intel</dc:creator>
  <dcterms:created xmlns:dcterms="http://purl.org/dc/terms/" xmlns:xsi="http://www.w3.org/2001/XMLSchema-instance" xsi:type="dcterms:W3CDTF">2021-12-04T05:21:23Z</dcterms:created>
  <dcterms:modified xmlns:dcterms="http://purl.org/dc/terms/" xmlns:xsi="http://www.w3.org/2001/XMLSchema-instance" xsi:type="dcterms:W3CDTF">2026-07-22T14:00:31Z</dcterms:modified>
  <cp:lastModifiedBy>PC</cp:lastModifiedBy>
  <cp:lastPrinted>2022-01-21T04:34:17Z</cp:lastPrinted>
</cp:coreProperties>
</file>